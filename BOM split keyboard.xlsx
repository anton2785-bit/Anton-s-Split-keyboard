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47AF24F8-2142-437F-9F41-417487C7A644}" xr6:coauthVersionLast="47" xr6:coauthVersionMax="47" xr10:uidLastSave="{00000000-0000-0000-0000-000000000000}"/>
  <bookViews>
    <workbookView xWindow="-120" yWindow="-120" windowWidth="38640" windowHeight="21120" xr2:uid="{AF577FC5-32F1-4787-9BBD-5C8FC860BFB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5" i="1"/>
  <c r="G10" i="1"/>
  <c r="G9" i="1"/>
  <c r="G3" i="1"/>
  <c r="G4" i="1"/>
  <c r="G6" i="1"/>
  <c r="G7" i="1"/>
  <c r="G8" i="1"/>
  <c r="G12" i="1"/>
  <c r="G13" i="1" l="1"/>
</calcChain>
</file>

<file path=xl/sharedStrings.xml><?xml version="1.0" encoding="utf-8"?>
<sst xmlns="http://schemas.openxmlformats.org/spreadsheetml/2006/main" count="41" uniqueCount="35">
  <si>
    <t>Product name</t>
  </si>
  <si>
    <t>Product description</t>
  </si>
  <si>
    <t>Prodict link</t>
  </si>
  <si>
    <t>Seeed Studio XIAO nRF52840</t>
  </si>
  <si>
    <t>Cherry MX Black Switch 5 Pins</t>
  </si>
  <si>
    <t>EC11 Encoder With Push Button</t>
  </si>
  <si>
    <t xml:space="preserve">3.7V 750mAh Battery </t>
  </si>
  <si>
    <t>Diodes 1N5819 SOD123</t>
  </si>
  <si>
    <t>SK6812 MINI-E RGB</t>
  </si>
  <si>
    <t>Blank black keycaps</t>
  </si>
  <si>
    <t>Left side PCB</t>
  </si>
  <si>
    <t>Right side PCB</t>
  </si>
  <si>
    <t>Keycaps for the switches</t>
  </si>
  <si>
    <t>Mini LEDs for showing layout number</t>
  </si>
  <si>
    <t>Diodes</t>
  </si>
  <si>
    <t>A battery for each side</t>
  </si>
  <si>
    <t>Rotary encoder for volume</t>
  </si>
  <si>
    <t>Keyboard switches</t>
  </si>
  <si>
    <t>A microcontroller for each side</t>
  </si>
  <si>
    <t>The PCB for the left side</t>
  </si>
  <si>
    <t>The PCB for the right side</t>
  </si>
  <si>
    <t>Aliexpress</t>
  </si>
  <si>
    <t>Product unit needed</t>
  </si>
  <si>
    <t>Product amount in listing</t>
  </si>
  <si>
    <t>Product price euro</t>
  </si>
  <si>
    <t>Product price USD</t>
  </si>
  <si>
    <t>10.19 ( 0.86 with new shoppers save)</t>
  </si>
  <si>
    <t>12.03 or 1.01</t>
  </si>
  <si>
    <t>image bellow</t>
  </si>
  <si>
    <t>Price without new shopers save</t>
  </si>
  <si>
    <t>Price with new shopers save</t>
  </si>
  <si>
    <t>Seed Studio</t>
  </si>
  <si>
    <t>Shipping from aliexpress - 2.27 euro</t>
  </si>
  <si>
    <t>Shipping from seed studio - 8.24 euro</t>
  </si>
  <si>
    <t>Shipping from 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</si>
</sst>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XDR&quot;_-;\-* #,##0.00\ &quot;XDR&quot;_-;_-* &quot;-&quot;??\ &quot;XDR&quot;_-;_-@_-"/>
    <numFmt numFmtId="164" formatCode="_-[$€-2]\ * #,##0.00_-;\-[$€-2]\ * #,##0.00_-;_-[$€-2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7BCF3"/>
        <bgColor indexed="64"/>
      </patternFill>
    </fill>
    <fill>
      <patternFill patternType="solid">
        <fgColor rgb="FF98FAA1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70CBF8"/>
        <bgColor indexed="64"/>
      </patternFill>
    </fill>
    <fill>
      <patternFill patternType="solid">
        <fgColor rgb="FF9FFE6A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164" fontId="0" fillId="0" borderId="0" xfId="1" applyNumberFormat="1" applyFont="1"/>
    <xf numFmtId="164" fontId="0" fillId="0" borderId="0" xfId="1" applyNumberFormat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2" fillId="4" borderId="6" xfId="2" applyFill="1" applyBorder="1"/>
    <xf numFmtId="0" fontId="0" fillId="5" borderId="6" xfId="0" applyFill="1" applyBorder="1"/>
    <xf numFmtId="0" fontId="0" fillId="5" borderId="9" xfId="0" applyFill="1" applyBorder="1"/>
    <xf numFmtId="2" fontId="0" fillId="3" borderId="7" xfId="0" applyNumberFormat="1" applyFill="1" applyBorder="1"/>
    <xf numFmtId="2" fontId="0" fillId="3" borderId="10" xfId="0" applyNumberFormat="1" applyFill="1" applyBorder="1"/>
    <xf numFmtId="2" fontId="0" fillId="2" borderId="3" xfId="1" applyNumberFormat="1" applyFont="1" applyFill="1" applyBorder="1" applyAlignment="1">
      <alignment horizontal="center" vertical="center"/>
    </xf>
    <xf numFmtId="2" fontId="0" fillId="2" borderId="6" xfId="1" applyNumberFormat="1" applyFont="1" applyFill="1" applyBorder="1" applyAlignment="1">
      <alignment horizontal="center" vertical="center"/>
    </xf>
    <xf numFmtId="2" fontId="0" fillId="2" borderId="9" xfId="1" applyNumberFormat="1" applyFont="1" applyFill="1" applyBorder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3" borderId="4" xfId="0" applyNumberFormat="1" applyFill="1" applyBorder="1" applyAlignment="1">
      <alignment horizontal="right"/>
    </xf>
    <xf numFmtId="2" fontId="0" fillId="3" borderId="7" xfId="0" applyNumberFormat="1" applyFill="1" applyBorder="1" applyAlignment="1">
      <alignment horizontal="right"/>
    </xf>
    <xf numFmtId="2" fontId="0" fillId="0" borderId="0" xfId="0" applyNumberFormat="1"/>
    <xf numFmtId="0" fontId="2" fillId="6" borderId="3" xfId="2" applyFill="1" applyBorder="1"/>
    <xf numFmtId="164" fontId="0" fillId="0" borderId="0" xfId="1" applyNumberFormat="1" applyFont="1" applyAlignment="1">
      <alignment horizontal="left" vertical="center"/>
    </xf>
    <xf numFmtId="164" fontId="0" fillId="0" borderId="0" xfId="1" applyNumberFormat="1" applyFont="1" applyAlignment="1">
      <alignment horizontal="left"/>
    </xf>
  </cellXfs>
  <cellStyles count="3">
    <cellStyle name="Валута" xfId="1" builtinId="4"/>
    <cellStyle name="Нормален" xfId="0" builtinId="0"/>
    <cellStyle name="Хипервръзка" xfId="2" builtinId="8"/>
  </cellStyles>
  <dxfs count="0"/>
  <tableStyles count="0" defaultTableStyle="TableStyleMedium2" defaultPivotStyle="PivotStyleLight16"/>
  <colors>
    <mruColors>
      <color rgb="FF9FFE6A"/>
      <color rgb="FF70CBF8"/>
      <color rgb="FFFF6969"/>
      <color rgb="FF98FAA1"/>
      <color rgb="FF97B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171449</xdr:rowOff>
    </xdr:from>
    <xdr:to>
      <xdr:col>3</xdr:col>
      <xdr:colOff>409812</xdr:colOff>
      <xdr:row>21</xdr:row>
      <xdr:rowOff>114300</xdr:rowOff>
    </xdr:to>
    <xdr:pic>
      <xdr:nvPicPr>
        <xdr:cNvPr id="2" name="Картина 1">
          <a:extLst>
            <a:ext uri="{FF2B5EF4-FFF2-40B4-BE49-F238E27FC236}">
              <a16:creationId xmlns:a16="http://schemas.microsoft.com/office/drawing/2014/main" id="{C38A7EFB-1E1C-AB43-AFB4-10D07CB5B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1699"/>
          <a:ext cx="5534262" cy="2038351"/>
        </a:xfrm>
        <a:prstGeom prst="rect">
          <a:avLst/>
        </a:prstGeom>
      </xdr:spPr>
    </xdr:pic>
    <xdr:clientData/>
  </xdr:twoCellAnchor>
  <xdr:twoCellAnchor editAs="oneCell">
    <xdr:from>
      <xdr:col>3</xdr:col>
      <xdr:colOff>344878</xdr:colOff>
      <xdr:row>10</xdr:row>
      <xdr:rowOff>85725</xdr:rowOff>
    </xdr:from>
    <xdr:to>
      <xdr:col>4</xdr:col>
      <xdr:colOff>1534163</xdr:colOff>
      <xdr:row>27</xdr:row>
      <xdr:rowOff>153251</xdr:rowOff>
    </xdr:to>
    <xdr:pic>
      <xdr:nvPicPr>
        <xdr:cNvPr id="3" name="Картина 2">
          <a:extLst>
            <a:ext uri="{FF2B5EF4-FFF2-40B4-BE49-F238E27FC236}">
              <a16:creationId xmlns:a16="http://schemas.microsoft.com/office/drawing/2014/main" id="{6F99BAAF-7925-6F5A-89AC-1AABCB0BF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9328" y="2085975"/>
          <a:ext cx="2484685" cy="3306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liexpress.com/item/1005007138612313.html?spm=a2g0o.productlist.main.5.2e837170etYKYJ&amp;algo_pvid=da419258-16e5-450b-ba5c-1cd4600a1d0e&amp;algo_exp_id=da419258-16e5-450b-ba5c-1cd4600a1d0e-4&amp;pdp_ext_f=%7B%22order%22%3A%2295%22%2C%22eval%22%3A%221%22%2C%22fromPage%22%3A%22search%22%7D&amp;pdp_npi=6%40dis%21EUR%218.31%210.86%21%21%219.58%210.99%21%4021038da617703112486973889e50f4%2112000039539273590%21sea%21BG%217453050691%21ABX%211%210%21n_tag%3A-29910%3Bd%3A49a4a0bd%3Bm03_new_user%3A-29895%3BpisId%3A5000000197847370&amp;curPageLogUid=ZzNXtTF9czc2&amp;utparam-url=scene%3Asearch%7Cquery_from%3A%7Cx_object_id%3A1005007138612313%7C_p_origin_prod%3A" TargetMode="External"/><Relationship Id="rId7" Type="http://schemas.openxmlformats.org/officeDocument/2006/relationships/hyperlink" Target="https://www.seeedstudio.com/Seeed-XIAO-BLE-nRF52840-p-5201.html" TargetMode="External"/><Relationship Id="rId2" Type="http://schemas.openxmlformats.org/officeDocument/2006/relationships/hyperlink" Target="https://www.aliexpress.com/item/1005006111225091.html?spm=a2g0o.productlist.main.16.1974XM9qXM9qgi&amp;algo_pvid=461d2cd4-3bc2-497e-be27-a7554cb95cef&amp;algo_exp_id=461d2cd4-3bc2-497e-be27-a7554cb95cef-13&amp;pdp_ext_f=%7B%22order%22%3A%22451%22%2C%22eval%22%3A%221%22%2C%22fromPage%22%3A%22search%22%7D&amp;pdp_npi=6%40dis%21EUR%212.82%210.86%21%21%213.25%210.99%21%40211b441e17703132470453156e1e88%2112000035799539606%21sea%21BG%217453050691%21ABX%211%210%21n_tag%3A-29910%3Bd%3A49a4a0bd%3Bm03_new_user%3A-29895%3BpisId%3A5000000197847262&amp;curPageLogUid=G9LCGapRte49&amp;utparam-url=scene%3Asearch%7Cquery_from%3A%7Cx_object_id%3A1005006111225091%7C_p_origin_prod%3A" TargetMode="External"/><Relationship Id="rId1" Type="http://schemas.openxmlformats.org/officeDocument/2006/relationships/hyperlink" Target="https://www.aliexpress.com/item/1005007588533637.html?spm=a2g0o.cart.0.0.66e238daUfQdRv&amp;mp=1&amp;pdp_npi=6%40dis%21EUR%21EUR%2021.54%21EUR%2020.02%21%21EUR%2020.02%21%21%21%40210390c217703137027771258ef54d%2112000041407686957%21ct%21BG%217453050691%21%211%210%21" TargetMode="External"/><Relationship Id="rId6" Type="http://schemas.openxmlformats.org/officeDocument/2006/relationships/hyperlink" Target="https://www.aliexpress.com/item/1005005305167568.html?spm=a2g0o.cart.0.0.66e238daUfQdRv&amp;mp=1&amp;pdp_npi=6%40dis%21EUR%21EUR%205.58%21EUR%205.58%21%21EUR%205.30%21%21%21%40210390c217703137027771258ef54d%2112000032563126439%21ct%21BG%217453050691%21%212%210%21" TargetMode="External"/><Relationship Id="rId5" Type="http://schemas.openxmlformats.org/officeDocument/2006/relationships/hyperlink" Target="https://www.aliexpress.com/item/1005008591589739.html?spm=a2g0o.productlist.main.8.1d735dd6Pi5svF&amp;algo_pvid=1a1c2407-f83d-43c5-9432-b4e3e71dd1ba&amp;algo_exp_id=1a1c2407-f83d-43c5-9432-b4e3e71dd1ba-7&amp;pdp_ext_f=%7B%22order%22%3A%223%22%2C%22eval%22%3A%221%22%2C%22fromPage%22%3A%22search%22%7D&amp;pdp_npi=6%40dis%21EUR%213.54%210.86%21%21%214.08%210.99%21%4021038e1e17703139806158290e3be8%2112000045863230980%21sea%21BG%217453050691%21ABX%211%210%21n_tag%3A-29910%3Bd%3A49a4a0bd%3Bm03_new_user%3A-29895%3BpisId%3A5000000197847359&amp;curPageLogUid=bhxoNd0DLbsU&amp;utparam-url=scene%3Asearch%7Cquery_from%3A%7Cx_object_id%3A1005008591589739%7C_p_origin_prod%3A" TargetMode="External"/><Relationship Id="rId4" Type="http://schemas.openxmlformats.org/officeDocument/2006/relationships/hyperlink" Target="https://www.aliexpress.com/item/1005010373909049.html?spm=a2g0o.cart.0.0.66e238daUfQdRv&amp;mp=1&amp;pdp_npi=6%40dis%21EUR%21EUR%204.35%21EUR%202.13%21%21EUR%202.13%21%21%21%40210390c217703137027771258ef54d%2112000052183577995%21ct%21BG%217453050691%21%211%210%21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EA69-6A2C-455A-BA45-E599DB0083D3}">
  <dimension ref="A1:G34"/>
  <sheetViews>
    <sheetView tabSelected="1" workbookViewId="0">
      <selection activeCell="H23" sqref="H23"/>
    </sheetView>
  </sheetViews>
  <sheetFormatPr defaultRowHeight="15" x14ac:dyDescent="0.25"/>
  <cols>
    <col min="1" max="1" width="29.140625" bestFit="1" customWidth="1"/>
    <col min="2" max="2" width="34.5703125" bestFit="1" customWidth="1"/>
    <col min="3" max="3" width="13.140625" bestFit="1" customWidth="1"/>
    <col min="4" max="4" width="19.42578125" bestFit="1" customWidth="1"/>
    <col min="5" max="5" width="23.5703125" bestFit="1" customWidth="1"/>
    <col min="6" max="6" width="35.42578125" bestFit="1" customWidth="1"/>
    <col min="7" max="7" width="16.85546875" bestFit="1" customWidth="1"/>
    <col min="8" max="8" width="20" bestFit="1" customWidth="1"/>
  </cols>
  <sheetData>
    <row r="1" spans="1:7" ht="15.75" thickBot="1" x14ac:dyDescent="0.3">
      <c r="A1" s="4" t="s">
        <v>0</v>
      </c>
      <c r="B1" s="4" t="s">
        <v>1</v>
      </c>
      <c r="C1" s="4" t="s">
        <v>2</v>
      </c>
      <c r="D1" s="4" t="s">
        <v>22</v>
      </c>
      <c r="E1" s="4" t="s">
        <v>23</v>
      </c>
      <c r="F1" s="4" t="s">
        <v>24</v>
      </c>
      <c r="G1" s="4" t="s">
        <v>25</v>
      </c>
    </row>
    <row r="2" spans="1:7" ht="15.75" thickBot="1" x14ac:dyDescent="0.3">
      <c r="A2" s="4" t="s">
        <v>3</v>
      </c>
      <c r="B2" s="5" t="s">
        <v>18</v>
      </c>
      <c r="C2" s="23" t="s">
        <v>31</v>
      </c>
      <c r="D2" s="6">
        <v>2</v>
      </c>
      <c r="E2" s="6">
        <v>2</v>
      </c>
      <c r="F2" s="16">
        <v>17.89</v>
      </c>
      <c r="G2" s="20">
        <v>19.8</v>
      </c>
    </row>
    <row r="3" spans="1:7" ht="15.75" thickBot="1" x14ac:dyDescent="0.3">
      <c r="A3" s="4" t="s">
        <v>4</v>
      </c>
      <c r="B3" s="7" t="s">
        <v>17</v>
      </c>
      <c r="C3" s="11" t="s">
        <v>21</v>
      </c>
      <c r="D3" s="8">
        <v>40</v>
      </c>
      <c r="E3" s="8">
        <v>50</v>
      </c>
      <c r="F3" s="17">
        <v>20.02</v>
      </c>
      <c r="G3" s="21">
        <f t="shared" ref="G3:G10" si="0">F3*1.18</f>
        <v>23.6236</v>
      </c>
    </row>
    <row r="4" spans="1:7" ht="15.75" thickBot="1" x14ac:dyDescent="0.3">
      <c r="A4" s="4" t="s">
        <v>5</v>
      </c>
      <c r="B4" s="7" t="s">
        <v>16</v>
      </c>
      <c r="C4" s="11" t="s">
        <v>21</v>
      </c>
      <c r="D4" s="8">
        <v>1</v>
      </c>
      <c r="E4" s="8">
        <v>2</v>
      </c>
      <c r="F4" s="17">
        <v>2.74</v>
      </c>
      <c r="G4" s="21">
        <f t="shared" si="0"/>
        <v>3.2332000000000001</v>
      </c>
    </row>
    <row r="5" spans="1:7" ht="15.75" thickBot="1" x14ac:dyDescent="0.3">
      <c r="A5" s="4" t="s">
        <v>6</v>
      </c>
      <c r="B5" s="7" t="s">
        <v>15</v>
      </c>
      <c r="C5" s="11" t="s">
        <v>21</v>
      </c>
      <c r="D5" s="8">
        <v>2</v>
      </c>
      <c r="E5" s="8">
        <v>2</v>
      </c>
      <c r="F5" s="17" t="s">
        <v>26</v>
      </c>
      <c r="G5" s="21" t="s">
        <v>27</v>
      </c>
    </row>
    <row r="6" spans="1:7" ht="15.75" thickBot="1" x14ac:dyDescent="0.3">
      <c r="A6" s="4" t="s">
        <v>7</v>
      </c>
      <c r="B6" s="7" t="s">
        <v>14</v>
      </c>
      <c r="C6" s="11" t="s">
        <v>21</v>
      </c>
      <c r="D6" s="8">
        <v>40</v>
      </c>
      <c r="E6" s="8">
        <v>100</v>
      </c>
      <c r="F6" s="17">
        <v>2.13</v>
      </c>
      <c r="G6" s="21">
        <f t="shared" si="0"/>
        <v>2.5133999999999999</v>
      </c>
    </row>
    <row r="7" spans="1:7" ht="15.75" thickBot="1" x14ac:dyDescent="0.3">
      <c r="A7" s="4" t="s">
        <v>8</v>
      </c>
      <c r="B7" s="7" t="s">
        <v>13</v>
      </c>
      <c r="C7" s="11" t="s">
        <v>21</v>
      </c>
      <c r="D7" s="8">
        <v>3</v>
      </c>
      <c r="E7" s="8">
        <v>100</v>
      </c>
      <c r="F7" s="17">
        <v>3.56</v>
      </c>
      <c r="G7" s="21">
        <f t="shared" si="0"/>
        <v>4.2008000000000001</v>
      </c>
    </row>
    <row r="8" spans="1:7" ht="15.75" thickBot="1" x14ac:dyDescent="0.3">
      <c r="A8" s="4" t="s">
        <v>9</v>
      </c>
      <c r="B8" s="7" t="s">
        <v>12</v>
      </c>
      <c r="C8" s="11" t="s">
        <v>21</v>
      </c>
      <c r="D8" s="8">
        <v>40</v>
      </c>
      <c r="E8" s="8">
        <v>20</v>
      </c>
      <c r="F8" s="17">
        <v>11.16</v>
      </c>
      <c r="G8" s="21">
        <f t="shared" si="0"/>
        <v>13.168799999999999</v>
      </c>
    </row>
    <row r="9" spans="1:7" ht="15.75" thickBot="1" x14ac:dyDescent="0.3">
      <c r="A9" s="4" t="s">
        <v>10</v>
      </c>
      <c r="B9" s="7" t="s">
        <v>19</v>
      </c>
      <c r="C9" s="12" t="s">
        <v>28</v>
      </c>
      <c r="D9" s="8">
        <v>5</v>
      </c>
      <c r="E9" s="8">
        <v>1</v>
      </c>
      <c r="F9" s="17">
        <v>8.0399999999999991</v>
      </c>
      <c r="G9" s="14">
        <f t="shared" si="0"/>
        <v>9.4871999999999979</v>
      </c>
    </row>
    <row r="10" spans="1:7" ht="15.75" thickBot="1" x14ac:dyDescent="0.3">
      <c r="A10" s="4" t="s">
        <v>11</v>
      </c>
      <c r="B10" s="9" t="s">
        <v>20</v>
      </c>
      <c r="C10" s="13" t="s">
        <v>28</v>
      </c>
      <c r="D10" s="10">
        <v>5</v>
      </c>
      <c r="E10" s="10">
        <v>1</v>
      </c>
      <c r="F10" s="18">
        <v>8.0399999999999991</v>
      </c>
      <c r="G10" s="15">
        <f t="shared" si="0"/>
        <v>9.4871999999999979</v>
      </c>
    </row>
    <row r="11" spans="1:7" x14ac:dyDescent="0.25">
      <c r="F11" s="19"/>
      <c r="G11" s="22"/>
    </row>
    <row r="12" spans="1:7" x14ac:dyDescent="0.25">
      <c r="F12" s="3" t="s">
        <v>29</v>
      </c>
      <c r="G12" s="22">
        <f>SUM(G2:G4,G6:G10) + 12.03</f>
        <v>97.544200000000004</v>
      </c>
    </row>
    <row r="13" spans="1:7" x14ac:dyDescent="0.25">
      <c r="F13" s="3" t="s">
        <v>30</v>
      </c>
      <c r="G13" s="22">
        <f>SUM(G2:G4,G6:G10) +1.01</f>
        <v>86.524200000000008</v>
      </c>
    </row>
    <row r="14" spans="1:7" x14ac:dyDescent="0.25">
      <c r="F14" s="24"/>
      <c r="G14" s="22"/>
    </row>
    <row r="15" spans="1:7" x14ac:dyDescent="0.25">
      <c r="F15" s="24" t="s">
        <v>32</v>
      </c>
      <c r="G15" s="22">
        <f>2.27*1.18</f>
        <v>2.6785999999999999</v>
      </c>
    </row>
    <row r="16" spans="1:7" x14ac:dyDescent="0.25">
      <c r="F16" s="25" t="s">
        <v>33</v>
      </c>
      <c r="G16" s="22">
        <f>1.18*8.24</f>
        <v>9.7232000000000003</v>
      </c>
    </row>
    <row r="17" spans="6:7" x14ac:dyDescent="0.25">
      <c r="F17" s="25" t="s">
        <v>34</v>
      </c>
      <c r="G17">
        <v>7</v>
      </c>
    </row>
    <row r="18" spans="6:7" x14ac:dyDescent="0.25">
      <c r="F18" s="2"/>
    </row>
    <row r="19" spans="6:7" x14ac:dyDescent="0.25">
      <c r="F19" s="2"/>
    </row>
    <row r="20" spans="6:7" x14ac:dyDescent="0.25">
      <c r="F20" s="2"/>
    </row>
    <row r="21" spans="6:7" x14ac:dyDescent="0.25">
      <c r="F21" s="2"/>
    </row>
    <row r="22" spans="6:7" x14ac:dyDescent="0.25">
      <c r="F22" s="2"/>
    </row>
    <row r="23" spans="6:7" x14ac:dyDescent="0.25">
      <c r="F23" s="2"/>
    </row>
    <row r="24" spans="6:7" x14ac:dyDescent="0.25">
      <c r="F24" s="2"/>
    </row>
    <row r="25" spans="6:7" x14ac:dyDescent="0.25">
      <c r="F25" s="2"/>
    </row>
    <row r="26" spans="6:7" x14ac:dyDescent="0.25">
      <c r="F26" s="2"/>
    </row>
    <row r="27" spans="6:7" x14ac:dyDescent="0.25">
      <c r="F27" s="1"/>
    </row>
    <row r="28" spans="6:7" x14ac:dyDescent="0.25">
      <c r="F28" s="1"/>
    </row>
    <row r="29" spans="6:7" x14ac:dyDescent="0.25">
      <c r="F29" s="1"/>
    </row>
    <row r="30" spans="6:7" x14ac:dyDescent="0.25">
      <c r="F30" s="1"/>
    </row>
    <row r="31" spans="6:7" x14ac:dyDescent="0.25">
      <c r="F31" s="1"/>
    </row>
    <row r="32" spans="6:7" x14ac:dyDescent="0.25">
      <c r="F32" s="1"/>
    </row>
    <row r="33" spans="6:6" x14ac:dyDescent="0.25">
      <c r="F33" s="1"/>
    </row>
    <row r="34" spans="6:6" x14ac:dyDescent="0.25">
      <c r="F34" s="1"/>
    </row>
  </sheetData>
  <hyperlinks>
    <hyperlink ref="C3" r:id="rId1" xr:uid="{B1D6558B-7BF0-4786-AC40-38D9258FD00F}"/>
    <hyperlink ref="C4" r:id="rId2" xr:uid="{5DD5F5AF-F26F-4C07-98B5-E42F18991865}"/>
    <hyperlink ref="C5" r:id="rId3" xr:uid="{0D239CD8-12F0-44DA-A63F-9C181F9C8636}"/>
    <hyperlink ref="C6" r:id="rId4" xr:uid="{E7845D1A-8D59-4A97-ADC2-B480CF9B0508}"/>
    <hyperlink ref="C7" r:id="rId5" xr:uid="{A4E9AAEA-821A-476D-8710-C8B9AAACA690}"/>
    <hyperlink ref="C8" r:id="rId6" xr:uid="{C1C8EA01-65CA-4BC9-90D1-8201A498AC4E}"/>
    <hyperlink ref="C2" r:id="rId7" xr:uid="{A5150764-B967-4CDB-9147-05E59573AE6E}"/>
  </hyperlinks>
  <pageMargins left="0.7" right="0.7" top="0.75" bottom="0.75" header="0.3" footer="0.3"/>
  <pageSetup orientation="portrait" verticalDpi="0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Dimitrov</dc:creator>
  <cp:lastModifiedBy>Anton Dimitrov</cp:lastModifiedBy>
  <dcterms:created xsi:type="dcterms:W3CDTF">2026-02-05T17:47:39Z</dcterms:created>
  <dcterms:modified xsi:type="dcterms:W3CDTF">2026-02-06T16:31:28Z</dcterms:modified>
</cp:coreProperties>
</file>